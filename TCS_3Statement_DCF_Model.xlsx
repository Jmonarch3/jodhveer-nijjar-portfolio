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Assumptions" sheetId="2" state="visible" r:id="rId4"/>
    <sheet name="3-Statement Model" sheetId="3" state="visible" r:id="rId5"/>
    <sheet name="DCF Valuation" sheetId="4" state="visible" r:id="rId6"/>
    <sheet name="Sensitivity Analysis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<sst xmlns="http://schemas.openxmlformats.org/spreadsheetml/2006/main" count="120" uniqueCount="108">
  <si>
    <t xml:space="preserve">TCS — 3-Statement Model &amp; DCF Valuation</t>
  </si>
  <si>
    <t xml:space="preserve">Quick-read summary. See Assumptions, 3-Statement Model, DCF Valuation, and Sensitivity Analysis tabs for full detail.</t>
  </si>
  <si>
    <t xml:space="preserve">INTRINSIC VALUE / SHARE</t>
  </si>
  <si>
    <t xml:space="preserve">CURRENT MARKET PRICE</t>
  </si>
  <si>
    <t xml:space="preserve">IMPLIED UPSIDE</t>
  </si>
  <si>
    <t xml:space="preserve">WACC USED</t>
  </si>
  <si>
    <t xml:space="preserve">Verdict:</t>
  </si>
  <si>
    <t xml:space="preserve">Revenue: Historical Actuals (FY21–FY26) &amp; Projected (FY27E–FY31E)</t>
  </si>
  <si>
    <t xml:space="preserve">Assumptions &amp; Inputs  |  Blue cells = inputs (editable)  |  Black cells = formulas</t>
  </si>
  <si>
    <t xml:space="preserve">Cost of Equity (CAPM)</t>
  </si>
  <si>
    <t xml:space="preserve">Risk-Free Rate (India 10Y G-Sec)</t>
  </si>
  <si>
    <t xml:space="preserve">Beta (5Y, vs Nifty 50)</t>
  </si>
  <si>
    <t xml:space="preserve">Equity Risk Premium (India)</t>
  </si>
  <si>
    <t xml:space="preserve">Cost of Equity (Ke) = Rf + β × ERP</t>
  </si>
  <si>
    <t xml:space="preserve">Cost of Debt</t>
  </si>
  <si>
    <t xml:space="preserve">Pre-Tax Cost of Debt</t>
  </si>
  <si>
    <t xml:space="preserve">Effective Tax Rate</t>
  </si>
  <si>
    <t xml:space="preserve">Post-Tax Cost of Debt</t>
  </si>
  <si>
    <t xml:space="preserve">Capital Structure (Market-Value Weights)</t>
  </si>
  <si>
    <t xml:space="preserve">Market Capitalisation (₹ Cr)</t>
  </si>
  <si>
    <t xml:space="preserve">Total Borrowings / Lease Liabilities (₹ Cr)</t>
  </si>
  <si>
    <t xml:space="preserve">Total Capital Employed (₹ Cr)</t>
  </si>
  <si>
    <t xml:space="preserve">Weight of Equity</t>
  </si>
  <si>
    <t xml:space="preserve">Weight of Debt</t>
  </si>
  <si>
    <t xml:space="preserve">Weighted Average Cost of Capital</t>
  </si>
  <si>
    <t xml:space="preserve">WACC = We×Ke + Wd×Kd(1-t)</t>
  </si>
  <si>
    <t xml:space="preserve">Terminal Value Assumption</t>
  </si>
  <si>
    <t xml:space="preserve">Terminal (Perpetuity) Growth Rate</t>
  </si>
  <si>
    <t xml:space="preserve">Net Cash / Share Data (FY26 Actuals)</t>
  </si>
  <si>
    <t xml:space="preserve">Cash &amp; Investments (₹ Cr)</t>
  </si>
  <si>
    <t xml:space="preserve">Borrowings / Lease Liabilities (₹ Cr)</t>
  </si>
  <si>
    <t xml:space="preserve">Net Cash / (Net Debt) (₹ Cr)</t>
  </si>
  <si>
    <t xml:space="preserve">Shares Outstanding (Cr)</t>
  </si>
  <si>
    <t xml:space="preserve">Current Share Price (₹, as of Aug 2026)</t>
  </si>
  <si>
    <t xml:space="preserve">Revenue Growth Assumptions (Projection Years)</t>
  </si>
  <si>
    <t xml:space="preserve">FY27E</t>
  </si>
  <si>
    <t xml:space="preserve">FY28E</t>
  </si>
  <si>
    <t xml:space="preserve">FY29E</t>
  </si>
  <si>
    <t xml:space="preserve">FY30E</t>
  </si>
  <si>
    <t xml:space="preserve">FY31E</t>
  </si>
  <si>
    <t xml:space="preserve">YoY Revenue Growth %</t>
  </si>
  <si>
    <t xml:space="preserve">Margin Assumptions (Held Constant Through Projection)</t>
  </si>
  <si>
    <t xml:space="preserve">Operating Margin (OPM)</t>
  </si>
  <si>
    <t xml:space="preserve">Free Cash Flow Margin (FCF / Revenue)</t>
  </si>
  <si>
    <t xml:space="preserve">D&amp;A (% of Revenue)</t>
  </si>
  <si>
    <t xml:space="preserve">Sources: screener.in (consolidated financials, FY26); India 10Y G-Sec via tradingeconomics.com (Aug 2026); Beta and ERP are illustrative estimates for a large-cap Indian IT services company.</t>
  </si>
  <si>
    <t xml:space="preserve">TCS — Income Statement, Balance Sheet &amp; Cash Flow</t>
  </si>
  <si>
    <t xml:space="preserve">Consolidated, ₹ Crores  |  FY21–FY26 Actuals (screener.in)  |  FY27E–FY31E Projected (formula-driven, shaded)</t>
  </si>
  <si>
    <t xml:space="preserve">(₹ Crores)</t>
  </si>
  <si>
    <t xml:space="preserve">FY21</t>
  </si>
  <si>
    <t xml:space="preserve">FY22</t>
  </si>
  <si>
    <t xml:space="preserve">FY23</t>
  </si>
  <si>
    <t xml:space="preserve">FY24</t>
  </si>
  <si>
    <t xml:space="preserve">FY25</t>
  </si>
  <si>
    <t xml:space="preserve">FY26</t>
  </si>
  <si>
    <t xml:space="preserve">INCOME STATEMENT</t>
  </si>
  <si>
    <t xml:space="preserve">Revenue</t>
  </si>
  <si>
    <t xml:space="preserve">  Revenue Growth % YoY</t>
  </si>
  <si>
    <t xml:space="preserve">Operating Profit (EBIT)</t>
  </si>
  <si>
    <t xml:space="preserve">  Operating Margin (OPM %)</t>
  </si>
  <si>
    <t xml:space="preserve">Other Income</t>
  </si>
  <si>
    <t xml:space="preserve">Interest Expense</t>
  </si>
  <si>
    <t xml:space="preserve">Depreciation &amp; Amortisation</t>
  </si>
  <si>
    <t xml:space="preserve">Profit Before Tax</t>
  </si>
  <si>
    <t xml:space="preserve">  Tax Rate %</t>
  </si>
  <si>
    <t xml:space="preserve">Net Profit</t>
  </si>
  <si>
    <t xml:space="preserve">  EPS (₹)</t>
  </si>
  <si>
    <t xml:space="preserve">BALANCE SHEET (Historical Actuals)</t>
  </si>
  <si>
    <t xml:space="preserve">Equity Capital</t>
  </si>
  <si>
    <t xml:space="preserve">Reserves &amp; Surplus</t>
  </si>
  <si>
    <t xml:space="preserve">Total Equity</t>
  </si>
  <si>
    <t xml:space="preserve">Borrowings / Lease Liabilities</t>
  </si>
  <si>
    <t xml:space="preserve">Other Liabilities</t>
  </si>
  <si>
    <t xml:space="preserve">Total Liabilities &amp; Equity</t>
  </si>
  <si>
    <t xml:space="preserve">CASH FLOW</t>
  </si>
  <si>
    <t xml:space="preserve">Cash from Operating Activity</t>
  </si>
  <si>
    <t xml:space="preserve">Free Cash Flow (FCF)</t>
  </si>
  <si>
    <t xml:space="preserve">  FCF Margin %</t>
  </si>
  <si>
    <t xml:space="preserve">Note: FY26 = year ended March 2026 (latest complete fiscal year per screener.in). Projections hold OPM, D&amp;A%, and FCF margin constant at FY26 levels — a simplifying assumption; interest expense held flat in absolute terms.</t>
  </si>
  <si>
    <t xml:space="preserve">TCS — DCF Valuation (FCFF Approach)</t>
  </si>
  <si>
    <t xml:space="preserve">Discounts projected Free Cash Flow to Firm at WACC; Terminal Value via Gordon Growth Model</t>
  </si>
  <si>
    <t xml:space="preserve">Year Number (n)</t>
  </si>
  <si>
    <t xml:space="preserve">Projected FCF (from 3-Statement Model)</t>
  </si>
  <si>
    <t xml:space="preserve">Discount Factor  =  1 / (1+WACC)^n</t>
  </si>
  <si>
    <t xml:space="preserve">PV of FCF</t>
  </si>
  <si>
    <t xml:space="preserve">TERMINAL VALUE</t>
  </si>
  <si>
    <t xml:space="preserve">FCF in Terminal Year + 1  =  FY31E FCF × (1+g)</t>
  </si>
  <si>
    <t xml:space="preserve">Terminal Value (at end of FY31)  =  FCF÷(WACC−g)</t>
  </si>
  <si>
    <t xml:space="preserve">PV of Terminal Value  =  TV × Discount Factor (Yr 5)</t>
  </si>
  <si>
    <t xml:space="preserve">ENTERPRISE TO EQUITY VALUE BRIDGE</t>
  </si>
  <si>
    <t xml:space="preserve">Sum of PV of Explicit FCF (FY27E–FY31E)</t>
  </si>
  <si>
    <t xml:space="preserve">PV of Terminal Value</t>
  </si>
  <si>
    <t xml:space="preserve">Enterprise Value</t>
  </si>
  <si>
    <t xml:space="preserve">Add: Net Cash / (Net Debt)</t>
  </si>
  <si>
    <t xml:space="preserve">Equity Value</t>
  </si>
  <si>
    <t xml:space="preserve">÷ Shares Outstanding (Cr)</t>
  </si>
  <si>
    <t xml:space="preserve">Intrinsic Value per Share (₹)</t>
  </si>
  <si>
    <t xml:space="preserve">VALUATION VERDICT</t>
  </si>
  <si>
    <t xml:space="preserve">Current Market Price (₹)</t>
  </si>
  <si>
    <t xml:space="preserve">Implied Upside / (Downside)</t>
  </si>
  <si>
    <t xml:space="preserve">Verdict</t>
  </si>
  <si>
    <t xml:space="preserve">Standard DCF caveats apply: intrinsic value is highly sensitive to WACC and terminal growth assumptions (see Sensitivity Analysis sheet). This is a simplified single-scenario model built for demonstration purposes, not a substitute for a full analyst model with scenario/probability weighting.</t>
  </si>
  <si>
    <t xml:space="preserve">TCS — Sensitivity Analysis</t>
  </si>
  <si>
    <t xml:space="preserve">Implied Intrinsic Value per Share (₹) — WACC (rows) × Terminal Growth Rate (columns)</t>
  </si>
  <si>
    <t xml:space="preserve">Each cell independently recomputes the DCF (5-yr FCF discounted + terminal value) at that WACC/growth combination.</t>
  </si>
  <si>
    <t xml:space="preserve">WACC ↓ / Terminal g →</t>
  </si>
  <si>
    <t xml:space="preserve">Highlighted cell ≈ base-case scenario (WACC ~11.8%, terminal growth 5.0%) used in the main DCF Valuation sheet.</t>
  </si>
  <si>
    <t xml:space="preserve">Reading the table: moving right (higher terminal growth) or down softer WACC both increase intrinsic value — this is the single biggest source of uncertainty in any DCF, which is why a range matters more than a point estimate.</t>
  </si>
</sst>
</file>

<file path=xl/styles.xml><?xml version="1.0" encoding="utf-8"?>
<styleSheet xmlns="http://schemas.openxmlformats.org/spreadsheetml/2006/main">
  <numFmts count="10">
    <numFmt numFmtId="164" formatCode="General"/>
    <numFmt numFmtId="165" formatCode="\₹#,##0"/>
    <numFmt numFmtId="166" formatCode="0.0%"/>
    <numFmt numFmtId="167" formatCode="0.00%"/>
    <numFmt numFmtId="168" formatCode="0.00"/>
    <numFmt numFmtId="169" formatCode="#,##0"/>
    <numFmt numFmtId="170" formatCode="#,##0.00"/>
    <numFmt numFmtId="171" formatCode="0%"/>
    <numFmt numFmtId="172" formatCode="0"/>
    <numFmt numFmtId="173" formatCode="0.000"/>
  </numFmts>
  <fonts count="2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1F3864"/>
      <name val="Arial"/>
      <family val="0"/>
      <charset val="1"/>
    </font>
    <font>
      <i val="true"/>
      <sz val="9"/>
      <color rgb="FF808080"/>
      <name val="Arial"/>
      <family val="0"/>
      <charset val="1"/>
    </font>
    <font>
      <sz val="10"/>
      <color rgb="FF595959"/>
      <name val="Arial"/>
      <family val="0"/>
      <charset val="1"/>
    </font>
    <font>
      <b val="true"/>
      <sz val="20"/>
      <color rgb="FF1F3864"/>
      <name val="Arial"/>
      <family val="0"/>
      <charset val="1"/>
    </font>
    <font>
      <b val="true"/>
      <sz val="12"/>
      <name val="Arial"/>
      <family val="0"/>
      <charset val="1"/>
    </font>
    <font>
      <b val="true"/>
      <sz val="12"/>
      <color rgb="FF2E7D32"/>
      <name val="Arial"/>
      <family val="0"/>
      <charset val="1"/>
    </font>
    <font>
      <b val="true"/>
      <sz val="11"/>
      <color rgb="FF1F3864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6"/>
      <color rgb="FF1F3864"/>
      <name val="Arial"/>
      <family val="0"/>
      <charset val="1"/>
    </font>
    <font>
      <b val="true"/>
      <sz val="12"/>
      <color rgb="FF1F3864"/>
      <name val="Arial"/>
      <family val="0"/>
      <charset val="1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i val="true"/>
      <sz val="10"/>
      <name val="Arial"/>
      <family val="0"/>
      <charset val="1"/>
    </font>
    <font>
      <i val="true"/>
      <sz val="10"/>
      <name val="Arial"/>
      <family val="0"/>
      <charset val="1"/>
    </font>
    <font>
      <b val="true"/>
      <sz val="9"/>
      <color rgb="FFFFFFFF"/>
      <name val="Arial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DDEBF7"/>
        <bgColor rgb="FFE2EFDA"/>
      </patternFill>
    </fill>
    <fill>
      <patternFill patternType="solid">
        <fgColor rgb="FFFFF2CC"/>
        <bgColor rgb="FFFFF9E6"/>
      </patternFill>
    </fill>
    <fill>
      <patternFill patternType="solid">
        <fgColor rgb="FF1F3864"/>
        <bgColor rgb="FF333333"/>
      </patternFill>
    </fill>
    <fill>
      <patternFill patternType="solid">
        <fgColor rgb="FFFFF9E6"/>
        <bgColor rgb="FFFFFFFF"/>
      </patternFill>
    </fill>
    <fill>
      <patternFill patternType="solid">
        <fgColor rgb="FFE2EFDA"/>
        <bgColor rgb="FFDDEBF7"/>
      </patternFill>
    </fill>
    <fill>
      <patternFill patternType="solid">
        <fgColor rgb="FF8EA9DB"/>
        <bgColor rgb="FF99CCFF"/>
      </patternFill>
    </fill>
    <fill>
      <patternFill patternType="solid">
        <fgColor rgb="FFFFE699"/>
        <bgColor rgb="FFFFF2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1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7" fontId="1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8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5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0" borderId="0" xfId="0" applyFont="true" applyBorder="false" applyAlignment="true" applyProtection="false">
      <alignment horizontal="general" vertical="bottom" textRotation="0" wrapText="false" indent="1" shrinkToFit="false"/>
      <protection locked="true" hidden="false"/>
    </xf>
    <xf numFmtId="169" fontId="17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5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1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15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1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1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7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17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7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8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8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7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8EA9DB"/>
      <rgbColor rgb="FF993366"/>
      <rgbColor rgb="FFFFF9E6"/>
      <rgbColor rgb="FFDDEBF7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E699"/>
      <rgbColor rgb="FF99CCFF"/>
      <rgbColor rgb="FFFF99CC"/>
      <rgbColor rgb="FFCC99FF"/>
      <rgbColor rgb="FFFFF2CC"/>
      <rgbColor rgb="FF4A7EBB"/>
      <rgbColor rgb="FF33CCCC"/>
      <rgbColor rgb="FF99CC00"/>
      <rgbColor rgb="FFFFCC00"/>
      <rgbColor rgb="FFFF9900"/>
      <rgbColor rgb="FFFF6600"/>
      <rgbColor rgb="FF595959"/>
      <rgbColor rgb="FF878787"/>
      <rgbColor rgb="FF1F3864"/>
      <rgbColor rgb="FF2E7D32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Revenue (₹ Cr)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'3-Statement Model'!B8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'3-Statement Model'!$C$5:$M$5</c:f>
              <c:strCache>
                <c:ptCount val="11"/>
                <c:pt idx="0">
                  <c:v>FY21</c:v>
                </c:pt>
                <c:pt idx="1">
                  <c:v>FY22</c:v>
                </c:pt>
                <c:pt idx="2">
                  <c:v>FY23</c:v>
                </c:pt>
                <c:pt idx="3">
                  <c:v>FY24</c:v>
                </c:pt>
                <c:pt idx="4">
                  <c:v>FY25</c:v>
                </c:pt>
                <c:pt idx="5">
                  <c:v>FY26</c:v>
                </c:pt>
                <c:pt idx="6">
                  <c:v>FY27E</c:v>
                </c:pt>
                <c:pt idx="7">
                  <c:v>FY28E</c:v>
                </c:pt>
                <c:pt idx="8">
                  <c:v>FY29E</c:v>
                </c:pt>
                <c:pt idx="9">
                  <c:v>FY30E</c:v>
                </c:pt>
                <c:pt idx="10">
                  <c:v>FY31E</c:v>
                </c:pt>
              </c:strCache>
            </c:strRef>
          </c:cat>
          <c:val>
            <c:numRef>
              <c:f>'3-Statement Model'!$C$8:$M$8</c:f>
              <c:numCache>
                <c:formatCode>#,##0</c:formatCode>
                <c:ptCount val="11"/>
                <c:pt idx="0">
                  <c:v>164177</c:v>
                </c:pt>
                <c:pt idx="1">
                  <c:v>191754</c:v>
                </c:pt>
                <c:pt idx="2">
                  <c:v>225458</c:v>
                </c:pt>
                <c:pt idx="3">
                  <c:v>240893</c:v>
                </c:pt>
                <c:pt idx="4">
                  <c:v>255324</c:v>
                </c:pt>
                <c:pt idx="5">
                  <c:v>267021</c:v>
                </c:pt>
                <c:pt idx="6">
                  <c:v>291052.89</c:v>
                </c:pt>
                <c:pt idx="7">
                  <c:v>315792.38565</c:v>
                </c:pt>
                <c:pt idx="8">
                  <c:v>341055.776502</c:v>
                </c:pt>
                <c:pt idx="9">
                  <c:v>366634.95973965</c:v>
                </c:pt>
                <c:pt idx="10">
                  <c:v>392299.406921426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87769549"/>
        <c:axId val="66688704"/>
      </c:lineChart>
      <c:catAx>
        <c:axId val="8776954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6688704"/>
        <c:crosses val="autoZero"/>
        <c:auto val="1"/>
        <c:lblAlgn val="ctr"/>
        <c:lblOffset val="100"/>
        <c:noMultiLvlLbl val="0"/>
      </c:catAx>
      <c:valAx>
        <c:axId val="6668870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7769549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Free Cash Flow (₹ Cr)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'3-Statement Model'!B30</c:f>
              <c:strCache>
                <c:ptCount val="1"/>
                <c:pt idx="0">
                  <c:v>Free Cash Flow (FCF)</c:v>
                </c:pt>
              </c:strCache>
            </c:strRef>
          </c:tx>
          <c:spPr>
            <a:solidFill>
              <a:srgbClr val="4a7ebb"/>
            </a:solidFill>
            <a:ln w="4752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'3-Statement Model'!$C$5:$M$5</c:f>
              <c:strCache>
                <c:ptCount val="11"/>
                <c:pt idx="0">
                  <c:v>FY21</c:v>
                </c:pt>
                <c:pt idx="1">
                  <c:v>FY22</c:v>
                </c:pt>
                <c:pt idx="2">
                  <c:v>FY23</c:v>
                </c:pt>
                <c:pt idx="3">
                  <c:v>FY24</c:v>
                </c:pt>
                <c:pt idx="4">
                  <c:v>FY25</c:v>
                </c:pt>
                <c:pt idx="5">
                  <c:v>FY26</c:v>
                </c:pt>
                <c:pt idx="6">
                  <c:v>FY27E</c:v>
                </c:pt>
                <c:pt idx="7">
                  <c:v>FY28E</c:v>
                </c:pt>
                <c:pt idx="8">
                  <c:v>FY29E</c:v>
                </c:pt>
                <c:pt idx="9">
                  <c:v>FY30E</c:v>
                </c:pt>
                <c:pt idx="10">
                  <c:v>FY31E</c:v>
                </c:pt>
              </c:strCache>
            </c:strRef>
          </c:cat>
          <c:val>
            <c:numRef>
              <c:f>'3-Statement Model'!$C$30:$M$30</c:f>
              <c:numCache>
                <c:formatCode>#,##0</c:formatCode>
                <c:ptCount val="11"/>
                <c:pt idx="0">
                  <c:v>35663</c:v>
                </c:pt>
                <c:pt idx="1">
                  <c:v>36985</c:v>
                </c:pt>
                <c:pt idx="2">
                  <c:v>38902</c:v>
                </c:pt>
                <c:pt idx="3">
                  <c:v>41688</c:v>
                </c:pt>
                <c:pt idx="4">
                  <c:v>44994</c:v>
                </c:pt>
                <c:pt idx="5">
                  <c:v>48013</c:v>
                </c:pt>
                <c:pt idx="6">
                  <c:v>52389.5202</c:v>
                </c:pt>
                <c:pt idx="7">
                  <c:v>56842.629417</c:v>
                </c:pt>
                <c:pt idx="8">
                  <c:v>61390.03977036</c:v>
                </c:pt>
                <c:pt idx="9">
                  <c:v>65994.292753137</c:v>
                </c:pt>
                <c:pt idx="10">
                  <c:v>70613.8932458566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82914399"/>
        <c:axId val="15095775"/>
      </c:lineChart>
      <c:catAx>
        <c:axId val="829143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5095775"/>
        <c:crosses val="autoZero"/>
        <c:auto val="1"/>
        <c:lblAlgn val="ctr"/>
        <c:lblOffset val="100"/>
        <c:noMultiLvlLbl val="0"/>
      </c:catAx>
      <c:valAx>
        <c:axId val="1509577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2914399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11</xdr:row>
      <xdr:rowOff>171360</xdr:rowOff>
    </xdr:from>
    <xdr:to>
      <xdr:col>6</xdr:col>
      <xdr:colOff>840600</xdr:colOff>
      <xdr:row>27</xdr:row>
      <xdr:rowOff>2880</xdr:rowOff>
    </xdr:to>
    <xdr:graphicFrame>
      <xdr:nvGraphicFramePr>
        <xdr:cNvPr id="0" name="Chart 1"/>
        <xdr:cNvGraphicFramePr/>
      </xdr:nvGraphicFramePr>
      <xdr:xfrm>
        <a:off x="211320" y="2476440"/>
        <a:ext cx="647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10</xdr:col>
      <xdr:colOff>0</xdr:colOff>
      <xdr:row>11</xdr:row>
      <xdr:rowOff>171360</xdr:rowOff>
    </xdr:from>
    <xdr:to>
      <xdr:col>20</xdr:col>
      <xdr:colOff>364680</xdr:colOff>
      <xdr:row>27</xdr:row>
      <xdr:rowOff>2880</xdr:rowOff>
    </xdr:to>
    <xdr:graphicFrame>
      <xdr:nvGraphicFramePr>
        <xdr:cNvPr id="1" name="Chart 2"/>
        <xdr:cNvGraphicFramePr/>
      </xdr:nvGraphicFramePr>
      <xdr:xfrm>
        <a:off x="9444960" y="2476440"/>
        <a:ext cx="647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2:I1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9" min="2" style="0" width="16"/>
    <col collapsed="false" customWidth="true" hidden="false" outlineLevel="0" max="10" min="10" style="0" width="3"/>
  </cols>
  <sheetData>
    <row r="2" customFormat="false" ht="22.05" hidden="false" customHeight="false" outlineLevel="0" collapsed="false">
      <c r="B2" s="1" t="s">
        <v>0</v>
      </c>
    </row>
    <row r="3" customFormat="false" ht="15" hidden="false" customHeight="false" outlineLevel="0" collapsed="false">
      <c r="B3" s="2" t="s">
        <v>1</v>
      </c>
    </row>
    <row r="6" customFormat="false" ht="15" hidden="false" customHeight="false" outlineLevel="0" collapsed="false">
      <c r="B6" s="3" t="s">
        <v>2</v>
      </c>
      <c r="D6" s="3" t="s">
        <v>3</v>
      </c>
      <c r="F6" s="3" t="s">
        <v>4</v>
      </c>
      <c r="H6" s="3" t="s">
        <v>5</v>
      </c>
    </row>
    <row r="7" customFormat="false" ht="24.45" hidden="false" customHeight="false" outlineLevel="0" collapsed="false">
      <c r="B7" s="4" t="n">
        <f aca="false">'DCF Valuation'!D24</f>
        <v>2438.50072193127</v>
      </c>
      <c r="D7" s="4" t="n">
        <f aca="false">'DCF Valuation'!D27</f>
        <v>2268</v>
      </c>
      <c r="F7" s="5" t="n">
        <f aca="false">'DCF Valuation'!D28</f>
        <v>0.0751766851548796</v>
      </c>
      <c r="H7" s="6" t="n">
        <f aca="false">Assumptions!D24</f>
        <v>0.117853143756475</v>
      </c>
    </row>
    <row r="9" customFormat="false" ht="15" hidden="false" customHeight="false" outlineLevel="0" collapsed="false">
      <c r="B9" s="7" t="s">
        <v>6</v>
      </c>
      <c r="C9" s="8" t="str">
        <f aca="false">'DCF Valuation'!D29</f>
        <v>FAIRLY VALUED</v>
      </c>
      <c r="D9" s="8"/>
      <c r="E9" s="8"/>
      <c r="F9" s="8"/>
      <c r="G9" s="8"/>
      <c r="H9" s="8"/>
      <c r="I9" s="8"/>
    </row>
    <row r="12" customFormat="false" ht="15" hidden="false" customHeight="false" outlineLevel="0" collapsed="false">
      <c r="B12" s="9" t="s">
        <v>7</v>
      </c>
      <c r="C12" s="9"/>
      <c r="D12" s="9"/>
      <c r="E12" s="9"/>
      <c r="F12" s="9"/>
      <c r="G12" s="9"/>
      <c r="H12" s="9"/>
      <c r="I12" s="9"/>
    </row>
  </sheetData>
  <mergeCells count="2">
    <mergeCell ref="C9:I9"/>
    <mergeCell ref="B12:I1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2:H4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42"/>
    <col collapsed="false" customWidth="true" hidden="false" outlineLevel="0" max="3" min="3" style="0" width="2"/>
    <col collapsed="false" customWidth="true" hidden="false" outlineLevel="0" max="8" min="4" style="0" width="14"/>
  </cols>
  <sheetData>
    <row r="2" customFormat="false" ht="19.7" hidden="false" customHeight="false" outlineLevel="0" collapsed="false">
      <c r="B2" s="10" t="s">
        <v>0</v>
      </c>
    </row>
    <row r="3" customFormat="false" ht="15" hidden="false" customHeight="false" outlineLevel="0" collapsed="false">
      <c r="B3" s="2" t="s">
        <v>8</v>
      </c>
    </row>
    <row r="5" customFormat="false" ht="15" hidden="false" customHeight="false" outlineLevel="0" collapsed="false">
      <c r="B5" s="11" t="s">
        <v>9</v>
      </c>
    </row>
    <row r="6" customFormat="false" ht="15" hidden="false" customHeight="false" outlineLevel="0" collapsed="false">
      <c r="B6" s="12" t="s">
        <v>10</v>
      </c>
      <c r="D6" s="13" t="n">
        <v>0.068</v>
      </c>
    </row>
    <row r="7" customFormat="false" ht="15" hidden="false" customHeight="false" outlineLevel="0" collapsed="false">
      <c r="B7" s="12" t="s">
        <v>11</v>
      </c>
      <c r="D7" s="14" t="n">
        <v>0.78</v>
      </c>
    </row>
    <row r="8" customFormat="false" ht="15" hidden="false" customHeight="false" outlineLevel="0" collapsed="false">
      <c r="B8" s="12" t="s">
        <v>12</v>
      </c>
      <c r="D8" s="13" t="n">
        <v>0.065</v>
      </c>
    </row>
    <row r="9" customFormat="false" ht="15" hidden="false" customHeight="false" outlineLevel="0" collapsed="false">
      <c r="B9" s="15" t="s">
        <v>13</v>
      </c>
      <c r="D9" s="16" t="n">
        <f aca="false">D6+D7*D8</f>
        <v>0.1187</v>
      </c>
    </row>
    <row r="11" customFormat="false" ht="15" hidden="false" customHeight="false" outlineLevel="0" collapsed="false">
      <c r="B11" s="11" t="s">
        <v>14</v>
      </c>
    </row>
    <row r="12" customFormat="false" ht="15" hidden="false" customHeight="false" outlineLevel="0" collapsed="false">
      <c r="B12" s="12" t="s">
        <v>15</v>
      </c>
      <c r="D12" s="13" t="n">
        <v>0.075</v>
      </c>
    </row>
    <row r="13" customFormat="false" ht="15" hidden="false" customHeight="false" outlineLevel="0" collapsed="false">
      <c r="B13" s="12" t="s">
        <v>16</v>
      </c>
      <c r="D13" s="13" t="n">
        <v>0.25</v>
      </c>
    </row>
    <row r="14" customFormat="false" ht="15" hidden="false" customHeight="false" outlineLevel="0" collapsed="false">
      <c r="B14" s="15" t="s">
        <v>17</v>
      </c>
      <c r="D14" s="16" t="n">
        <f aca="false">D12*(1-D13)</f>
        <v>0.05625</v>
      </c>
    </row>
    <row r="16" customFormat="false" ht="15" hidden="false" customHeight="false" outlineLevel="0" collapsed="false">
      <c r="B16" s="11" t="s">
        <v>18</v>
      </c>
    </row>
    <row r="17" customFormat="false" ht="15" hidden="false" customHeight="false" outlineLevel="0" collapsed="false">
      <c r="B17" s="12" t="s">
        <v>19</v>
      </c>
      <c r="D17" s="17" t="n">
        <v>820763</v>
      </c>
    </row>
    <row r="18" customFormat="false" ht="15" hidden="false" customHeight="false" outlineLevel="0" collapsed="false">
      <c r="B18" s="12" t="s">
        <v>20</v>
      </c>
      <c r="D18" s="17" t="n">
        <v>11283</v>
      </c>
    </row>
    <row r="19" customFormat="false" ht="15" hidden="false" customHeight="false" outlineLevel="0" collapsed="false">
      <c r="B19" s="12" t="s">
        <v>21</v>
      </c>
      <c r="D19" s="18" t="n">
        <f aca="false">D17+D18</f>
        <v>832046</v>
      </c>
    </row>
    <row r="20" customFormat="false" ht="15" hidden="false" customHeight="false" outlineLevel="0" collapsed="false">
      <c r="B20" s="12" t="s">
        <v>22</v>
      </c>
      <c r="D20" s="19" t="n">
        <f aca="false">D17/D19</f>
        <v>0.986439451664932</v>
      </c>
    </row>
    <row r="21" customFormat="false" ht="15" hidden="false" customHeight="false" outlineLevel="0" collapsed="false">
      <c r="B21" s="12" t="s">
        <v>23</v>
      </c>
      <c r="D21" s="19" t="n">
        <f aca="false">D18/D19</f>
        <v>0.013560548335068</v>
      </c>
    </row>
    <row r="23" customFormat="false" ht="15" hidden="false" customHeight="false" outlineLevel="0" collapsed="false">
      <c r="B23" s="11" t="s">
        <v>24</v>
      </c>
    </row>
    <row r="24" customFormat="false" ht="15" hidden="false" customHeight="false" outlineLevel="0" collapsed="false">
      <c r="B24" s="15" t="s">
        <v>25</v>
      </c>
      <c r="D24" s="16" t="n">
        <f aca="false">D20*D9+D21*D14</f>
        <v>0.117853143756475</v>
      </c>
    </row>
    <row r="26" customFormat="false" ht="15" hidden="false" customHeight="false" outlineLevel="0" collapsed="false">
      <c r="B26" s="11" t="s">
        <v>26</v>
      </c>
    </row>
    <row r="27" customFormat="false" ht="15" hidden="false" customHeight="false" outlineLevel="0" collapsed="false">
      <c r="B27" s="12" t="s">
        <v>27</v>
      </c>
      <c r="D27" s="13" t="n">
        <v>0.05</v>
      </c>
    </row>
    <row r="29" customFormat="false" ht="15" hidden="false" customHeight="false" outlineLevel="0" collapsed="false">
      <c r="B29" s="11" t="s">
        <v>28</v>
      </c>
    </row>
    <row r="30" customFormat="false" ht="15" hidden="false" customHeight="false" outlineLevel="0" collapsed="false">
      <c r="B30" s="12" t="s">
        <v>29</v>
      </c>
      <c r="D30" s="17" t="n">
        <v>48714</v>
      </c>
    </row>
    <row r="31" customFormat="false" ht="15" hidden="false" customHeight="false" outlineLevel="0" collapsed="false">
      <c r="B31" s="12" t="s">
        <v>30</v>
      </c>
      <c r="D31" s="18" t="n">
        <f aca="false">D18</f>
        <v>11283</v>
      </c>
    </row>
    <row r="32" customFormat="false" ht="15" hidden="false" customHeight="false" outlineLevel="0" collapsed="false">
      <c r="B32" s="15" t="s">
        <v>31</v>
      </c>
      <c r="D32" s="20" t="n">
        <f aca="false">D30-D31</f>
        <v>37431</v>
      </c>
    </row>
    <row r="33" customFormat="false" ht="15" hidden="false" customHeight="false" outlineLevel="0" collapsed="false">
      <c r="B33" s="12" t="s">
        <v>32</v>
      </c>
      <c r="D33" s="21" t="n">
        <v>361.89</v>
      </c>
    </row>
    <row r="34" customFormat="false" ht="15" hidden="false" customHeight="false" outlineLevel="0" collapsed="false">
      <c r="B34" s="12" t="s">
        <v>33</v>
      </c>
      <c r="D34" s="17" t="n">
        <v>2268</v>
      </c>
    </row>
    <row r="36" customFormat="false" ht="15" hidden="false" customHeight="false" outlineLevel="0" collapsed="false">
      <c r="B36" s="11" t="s">
        <v>34</v>
      </c>
    </row>
    <row r="37" customFormat="false" ht="15" hidden="false" customHeight="false" outlineLevel="0" collapsed="false">
      <c r="D37" s="22" t="s">
        <v>35</v>
      </c>
      <c r="E37" s="22" t="s">
        <v>36</v>
      </c>
      <c r="F37" s="22" t="s">
        <v>37</v>
      </c>
      <c r="G37" s="22" t="s">
        <v>38</v>
      </c>
      <c r="H37" s="22" t="s">
        <v>39</v>
      </c>
    </row>
    <row r="38" customFormat="false" ht="15" hidden="false" customHeight="false" outlineLevel="0" collapsed="false">
      <c r="B38" s="12" t="s">
        <v>40</v>
      </c>
      <c r="D38" s="13" t="n">
        <v>0.09</v>
      </c>
      <c r="E38" s="13" t="n">
        <v>0.085</v>
      </c>
      <c r="F38" s="13" t="n">
        <v>0.08</v>
      </c>
      <c r="G38" s="13" t="n">
        <v>0.075</v>
      </c>
      <c r="H38" s="13" t="n">
        <v>0.07</v>
      </c>
    </row>
    <row r="40" customFormat="false" ht="15" hidden="false" customHeight="false" outlineLevel="0" collapsed="false">
      <c r="B40" s="11" t="s">
        <v>41</v>
      </c>
    </row>
    <row r="41" customFormat="false" ht="15" hidden="false" customHeight="false" outlineLevel="0" collapsed="false">
      <c r="B41" s="12" t="s">
        <v>42</v>
      </c>
      <c r="D41" s="13" t="n">
        <v>0.27</v>
      </c>
    </row>
    <row r="42" customFormat="false" ht="15" hidden="false" customHeight="false" outlineLevel="0" collapsed="false">
      <c r="B42" s="12" t="s">
        <v>43</v>
      </c>
      <c r="D42" s="13" t="n">
        <v>0.18</v>
      </c>
    </row>
    <row r="43" customFormat="false" ht="15" hidden="false" customHeight="false" outlineLevel="0" collapsed="false">
      <c r="B43" s="12" t="s">
        <v>44</v>
      </c>
      <c r="D43" s="23" t="n">
        <v>0.0208</v>
      </c>
    </row>
    <row r="45" customFormat="false" ht="15" hidden="false" customHeight="false" outlineLevel="0" collapsed="false">
      <c r="B45" s="24" t="s">
        <v>45</v>
      </c>
      <c r="C45" s="24"/>
      <c r="D45" s="24"/>
      <c r="E45" s="24"/>
      <c r="F45" s="24"/>
      <c r="G45" s="24"/>
    </row>
  </sheetData>
  <mergeCells count="1">
    <mergeCell ref="B45:G4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2:M3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0"/>
    <col collapsed="false" customWidth="true" hidden="false" outlineLevel="0" max="8" min="3" style="0" width="11"/>
    <col collapsed="false" customWidth="true" hidden="false" outlineLevel="0" max="13" min="9" style="0" width="12"/>
  </cols>
  <sheetData>
    <row r="2" customFormat="false" ht="19.7" hidden="false" customHeight="false" outlineLevel="0" collapsed="false">
      <c r="B2" s="10" t="s">
        <v>46</v>
      </c>
    </row>
    <row r="3" customFormat="false" ht="15" hidden="false" customHeight="false" outlineLevel="0" collapsed="false">
      <c r="B3" s="2" t="s">
        <v>47</v>
      </c>
    </row>
    <row r="5" customFormat="false" ht="15" hidden="false" customHeight="false" outlineLevel="0" collapsed="false">
      <c r="B5" s="25" t="s">
        <v>48</v>
      </c>
      <c r="C5" s="26" t="s">
        <v>49</v>
      </c>
      <c r="D5" s="26" t="s">
        <v>50</v>
      </c>
      <c r="E5" s="26" t="s">
        <v>51</v>
      </c>
      <c r="F5" s="26" t="s">
        <v>52</v>
      </c>
      <c r="G5" s="26" t="s">
        <v>53</v>
      </c>
      <c r="H5" s="26" t="s">
        <v>54</v>
      </c>
      <c r="I5" s="26" t="s">
        <v>35</v>
      </c>
      <c r="J5" s="26" t="s">
        <v>36</v>
      </c>
      <c r="K5" s="26" t="s">
        <v>37</v>
      </c>
      <c r="L5" s="26" t="s">
        <v>38</v>
      </c>
      <c r="M5" s="26" t="s">
        <v>39</v>
      </c>
    </row>
    <row r="7" customFormat="false" ht="15" hidden="false" customHeight="false" outlineLevel="0" collapsed="false">
      <c r="B7" s="27" t="s">
        <v>55</v>
      </c>
      <c r="C7" s="28"/>
      <c r="D7" s="28"/>
      <c r="E7" s="28"/>
      <c r="F7" s="28"/>
      <c r="G7" s="28"/>
      <c r="H7" s="28"/>
      <c r="I7" s="28"/>
      <c r="J7" s="28"/>
      <c r="K7" s="28"/>
      <c r="L7" s="28"/>
    </row>
    <row r="8" customFormat="false" ht="15" hidden="false" customHeight="false" outlineLevel="0" collapsed="false">
      <c r="B8" s="12" t="s">
        <v>56</v>
      </c>
      <c r="C8" s="18" t="n">
        <v>164177</v>
      </c>
      <c r="D8" s="18" t="n">
        <v>191754</v>
      </c>
      <c r="E8" s="18" t="n">
        <v>225458</v>
      </c>
      <c r="F8" s="18" t="n">
        <v>240893</v>
      </c>
      <c r="G8" s="18" t="n">
        <v>255324</v>
      </c>
      <c r="H8" s="18" t="n">
        <v>267021</v>
      </c>
      <c r="I8" s="29" t="n">
        <f aca="false">H8*(1+Assumptions!D38)</f>
        <v>291052.89</v>
      </c>
      <c r="J8" s="29" t="n">
        <f aca="false">I8*(1+Assumptions!E38)</f>
        <v>315792.38565</v>
      </c>
      <c r="K8" s="29" t="n">
        <f aca="false">J8*(1+Assumptions!F38)</f>
        <v>341055.776502</v>
      </c>
      <c r="L8" s="29" t="n">
        <f aca="false">K8*(1+Assumptions!G38)</f>
        <v>366634.95973965</v>
      </c>
      <c r="M8" s="29" t="n">
        <f aca="false">L8*(1+Assumptions!H38)</f>
        <v>392299.406921426</v>
      </c>
    </row>
    <row r="9" customFormat="false" ht="15" hidden="false" customHeight="false" outlineLevel="0" collapsed="false">
      <c r="B9" s="30" t="s">
        <v>57</v>
      </c>
      <c r="D9" s="19" t="n">
        <f aca="false">(D8-C8)/C8</f>
        <v>0.16797115308478</v>
      </c>
      <c r="E9" s="19" t="n">
        <f aca="false">(E8-D8)/D8</f>
        <v>0.175766867966248</v>
      </c>
      <c r="F9" s="19" t="n">
        <f aca="false">(F8-E8)/E8</f>
        <v>0.0684606445546399</v>
      </c>
      <c r="G9" s="19" t="n">
        <f aca="false">(G8-F8)/F8</f>
        <v>0.0599062654373519</v>
      </c>
      <c r="H9" s="19" t="n">
        <f aca="false">(H8-G8)/G8</f>
        <v>0.0458123795647883</v>
      </c>
      <c r="I9" s="19" t="n">
        <f aca="false">(I8-H8)/H8</f>
        <v>0.0900000000000001</v>
      </c>
      <c r="J9" s="19" t="n">
        <f aca="false">(J8-I8)/I8</f>
        <v>0.085</v>
      </c>
      <c r="K9" s="19" t="n">
        <f aca="false">(K8-J8)/J8</f>
        <v>0.0800000000000001</v>
      </c>
      <c r="L9" s="19" t="n">
        <f aca="false">(L8-K8)/K8</f>
        <v>0.0749999999999999</v>
      </c>
      <c r="M9" s="19" t="n">
        <f aca="false">(M8-L8)/L8</f>
        <v>0.0700000000000001</v>
      </c>
    </row>
    <row r="10" customFormat="false" ht="15" hidden="false" customHeight="false" outlineLevel="0" collapsed="false">
      <c r="B10" s="12" t="s">
        <v>58</v>
      </c>
      <c r="C10" s="18" t="n">
        <v>46546</v>
      </c>
      <c r="D10" s="18" t="n">
        <v>53057</v>
      </c>
      <c r="E10" s="18" t="n">
        <v>59259</v>
      </c>
      <c r="F10" s="18" t="n">
        <v>64296</v>
      </c>
      <c r="G10" s="18" t="n">
        <v>67407</v>
      </c>
      <c r="H10" s="18" t="n">
        <v>72398</v>
      </c>
      <c r="I10" s="29" t="n">
        <f aca="false">I8*Assumptions!$D$41</f>
        <v>78584.2803</v>
      </c>
      <c r="J10" s="29" t="n">
        <f aca="false">J8*Assumptions!$D$41</f>
        <v>85263.9441255</v>
      </c>
      <c r="K10" s="29" t="n">
        <f aca="false">K8*Assumptions!$D$41</f>
        <v>92085.05965554</v>
      </c>
      <c r="L10" s="29" t="n">
        <f aca="false">L8*Assumptions!$D$41</f>
        <v>98991.4391297055</v>
      </c>
      <c r="M10" s="29" t="n">
        <f aca="false">M8*Assumptions!$D$41</f>
        <v>105920.839868785</v>
      </c>
    </row>
    <row r="11" customFormat="false" ht="15" hidden="false" customHeight="false" outlineLevel="0" collapsed="false">
      <c r="B11" s="30" t="s">
        <v>59</v>
      </c>
      <c r="C11" s="19" t="n">
        <f aca="false">C10/C8</f>
        <v>0.283511088642136</v>
      </c>
      <c r="D11" s="19" t="n">
        <f aca="false">D10/D8</f>
        <v>0.276693054642928</v>
      </c>
      <c r="E11" s="19" t="n">
        <f aca="false">E10/E8</f>
        <v>0.262838311348455</v>
      </c>
      <c r="F11" s="19" t="n">
        <f aca="false">F10/F8</f>
        <v>0.266906883969231</v>
      </c>
      <c r="G11" s="19" t="n">
        <f aca="false">G10/G8</f>
        <v>0.264005733891056</v>
      </c>
      <c r="H11" s="19" t="n">
        <f aca="false">H10/H8</f>
        <v>0.271132233045341</v>
      </c>
      <c r="I11" s="19" t="n">
        <f aca="false">I10/I8</f>
        <v>0.27</v>
      </c>
      <c r="J11" s="19" t="n">
        <f aca="false">J10/J8</f>
        <v>0.27</v>
      </c>
      <c r="K11" s="19" t="n">
        <f aca="false">K10/K8</f>
        <v>0.27</v>
      </c>
      <c r="L11" s="19" t="n">
        <f aca="false">L10/L8</f>
        <v>0.27</v>
      </c>
      <c r="M11" s="19" t="n">
        <f aca="false">M10/M8</f>
        <v>0.27</v>
      </c>
    </row>
    <row r="12" customFormat="false" ht="15" hidden="false" customHeight="false" outlineLevel="0" collapsed="false">
      <c r="B12" s="12" t="s">
        <v>60</v>
      </c>
      <c r="C12" s="18" t="n">
        <v>1916</v>
      </c>
      <c r="D12" s="18" t="n">
        <v>4018</v>
      </c>
      <c r="E12" s="18" t="n">
        <v>3449</v>
      </c>
      <c r="F12" s="18" t="n">
        <v>3464</v>
      </c>
      <c r="G12" s="18" t="n">
        <v>3962</v>
      </c>
      <c r="H12" s="18" t="n">
        <v>-124</v>
      </c>
      <c r="I12" s="29" t="n">
        <v>0</v>
      </c>
      <c r="J12" s="29" t="n">
        <v>0</v>
      </c>
      <c r="K12" s="29" t="n">
        <v>0</v>
      </c>
      <c r="L12" s="29" t="n">
        <v>0</v>
      </c>
      <c r="M12" s="29" t="n">
        <v>0</v>
      </c>
    </row>
    <row r="13" customFormat="false" ht="15" hidden="false" customHeight="false" outlineLevel="0" collapsed="false">
      <c r="B13" s="12" t="s">
        <v>61</v>
      </c>
      <c r="C13" s="18" t="n">
        <v>637</v>
      </c>
      <c r="D13" s="18" t="n">
        <v>784</v>
      </c>
      <c r="E13" s="18" t="n">
        <v>779</v>
      </c>
      <c r="F13" s="18" t="n">
        <v>778</v>
      </c>
      <c r="G13" s="18" t="n">
        <v>796</v>
      </c>
      <c r="H13" s="18" t="n">
        <v>1227</v>
      </c>
      <c r="I13" s="29" t="n">
        <f aca="false">$F$13</f>
        <v>778</v>
      </c>
      <c r="J13" s="29" t="n">
        <f aca="false">$F$13</f>
        <v>778</v>
      </c>
      <c r="K13" s="29" t="n">
        <f aca="false">$F$13</f>
        <v>778</v>
      </c>
      <c r="L13" s="29" t="n">
        <f aca="false">$F$13</f>
        <v>778</v>
      </c>
      <c r="M13" s="29" t="n">
        <f aca="false">$F$13</f>
        <v>778</v>
      </c>
    </row>
    <row r="14" customFormat="false" ht="15" hidden="false" customHeight="false" outlineLevel="0" collapsed="false">
      <c r="B14" s="12" t="s">
        <v>62</v>
      </c>
      <c r="C14" s="18" t="n">
        <v>4065</v>
      </c>
      <c r="D14" s="18" t="n">
        <v>4604</v>
      </c>
      <c r="E14" s="18" t="n">
        <v>5022</v>
      </c>
      <c r="F14" s="18" t="n">
        <v>4985</v>
      </c>
      <c r="G14" s="18" t="n">
        <v>5242</v>
      </c>
      <c r="H14" s="18" t="n">
        <v>5560</v>
      </c>
      <c r="I14" s="29" t="n">
        <f aca="false">I8*Assumptions!$D$43</f>
        <v>6053.900112</v>
      </c>
      <c r="J14" s="29" t="n">
        <f aca="false">J8*Assumptions!$D$43</f>
        <v>6568.48162152</v>
      </c>
      <c r="K14" s="29" t="n">
        <f aca="false">K8*Assumptions!$D$43</f>
        <v>7093.9601512416</v>
      </c>
      <c r="L14" s="29" t="n">
        <f aca="false">L8*Assumptions!$D$43</f>
        <v>7626.00716258472</v>
      </c>
      <c r="M14" s="29" t="n">
        <f aca="false">M8*Assumptions!$D$43</f>
        <v>8159.82766396565</v>
      </c>
    </row>
    <row r="15" customFormat="false" ht="15" hidden="false" customHeight="false" outlineLevel="0" collapsed="false">
      <c r="B15" s="15" t="s">
        <v>63</v>
      </c>
      <c r="C15" s="20" t="n">
        <v>43760</v>
      </c>
      <c r="D15" s="20" t="n">
        <v>51687</v>
      </c>
      <c r="E15" s="20" t="n">
        <v>56907</v>
      </c>
      <c r="F15" s="20" t="n">
        <v>61997</v>
      </c>
      <c r="G15" s="20" t="n">
        <v>65331</v>
      </c>
      <c r="H15" s="20" t="n">
        <v>65487</v>
      </c>
      <c r="I15" s="31" t="n">
        <f aca="false">I10+I12-I13-I14</f>
        <v>71752.380188</v>
      </c>
      <c r="J15" s="31" t="n">
        <f aca="false">J10+J12-J13-J14</f>
        <v>77917.46250398</v>
      </c>
      <c r="K15" s="31" t="n">
        <f aca="false">K10+K12-K13-K14</f>
        <v>84213.0995042984</v>
      </c>
      <c r="L15" s="31" t="n">
        <f aca="false">L10+L12-L13-L14</f>
        <v>90587.4319671208</v>
      </c>
      <c r="M15" s="31" t="n">
        <f aca="false">M10+M12-M13-M14</f>
        <v>96983.0122048192</v>
      </c>
    </row>
    <row r="16" customFormat="false" ht="15" hidden="false" customHeight="false" outlineLevel="0" collapsed="false">
      <c r="B16" s="30" t="s">
        <v>64</v>
      </c>
      <c r="C16" s="32" t="n">
        <v>0.26</v>
      </c>
      <c r="D16" s="32" t="n">
        <v>0.26</v>
      </c>
      <c r="E16" s="32" t="n">
        <v>0.26</v>
      </c>
      <c r="F16" s="32" t="n">
        <v>0.26</v>
      </c>
      <c r="G16" s="32" t="n">
        <v>0.25</v>
      </c>
      <c r="H16" s="32" t="n">
        <v>0.24</v>
      </c>
      <c r="I16" s="33" t="n">
        <f aca="false">Assumptions!$D$13</f>
        <v>0.25</v>
      </c>
      <c r="J16" s="33" t="n">
        <f aca="false">Assumptions!$D$13</f>
        <v>0.25</v>
      </c>
      <c r="K16" s="33" t="n">
        <f aca="false">Assumptions!$D$13</f>
        <v>0.25</v>
      </c>
      <c r="L16" s="33" t="n">
        <f aca="false">Assumptions!$D$13</f>
        <v>0.25</v>
      </c>
      <c r="M16" s="33" t="n">
        <f aca="false">Assumptions!$D$13</f>
        <v>0.25</v>
      </c>
    </row>
    <row r="17" customFormat="false" ht="15" hidden="false" customHeight="false" outlineLevel="0" collapsed="false">
      <c r="B17" s="15" t="s">
        <v>65</v>
      </c>
      <c r="C17" s="20" t="n">
        <v>32562</v>
      </c>
      <c r="D17" s="20" t="n">
        <v>38449</v>
      </c>
      <c r="E17" s="20" t="n">
        <v>42303</v>
      </c>
      <c r="F17" s="20" t="n">
        <v>46099</v>
      </c>
      <c r="G17" s="20" t="n">
        <v>48797</v>
      </c>
      <c r="H17" s="20" t="n">
        <v>49454</v>
      </c>
      <c r="I17" s="31" t="n">
        <f aca="false">I15*(1-I16)</f>
        <v>53814.285141</v>
      </c>
      <c r="J17" s="31" t="n">
        <f aca="false">J15*(1-J16)</f>
        <v>58438.096877985</v>
      </c>
      <c r="K17" s="31" t="n">
        <f aca="false">K15*(1-K16)</f>
        <v>63159.8246282238</v>
      </c>
      <c r="L17" s="31" t="n">
        <f aca="false">L15*(1-L16)</f>
        <v>67940.5739753406</v>
      </c>
      <c r="M17" s="31" t="n">
        <f aca="false">M15*(1-M16)</f>
        <v>72737.2591536144</v>
      </c>
    </row>
    <row r="18" customFormat="false" ht="15" hidden="false" customHeight="false" outlineLevel="0" collapsed="false">
      <c r="B18" s="30" t="s">
        <v>66</v>
      </c>
      <c r="C18" s="34" t="n">
        <v>87.67</v>
      </c>
      <c r="D18" s="34" t="n">
        <v>104.75</v>
      </c>
      <c r="E18" s="34" t="n">
        <v>115.19</v>
      </c>
      <c r="F18" s="34" t="n">
        <v>126.88</v>
      </c>
      <c r="G18" s="34" t="n">
        <v>134.2</v>
      </c>
      <c r="H18" s="34" t="n">
        <v>136.01</v>
      </c>
      <c r="I18" s="35" t="n">
        <f aca="false">I17/Assumptions!$D$33</f>
        <v>148.703432371715</v>
      </c>
      <c r="J18" s="35" t="n">
        <f aca="false">J17/Assumptions!$D$33</f>
        <v>161.480275437246</v>
      </c>
      <c r="K18" s="35" t="n">
        <f aca="false">K17/Assumptions!$D$33</f>
        <v>174.527686944165</v>
      </c>
      <c r="L18" s="35" t="n">
        <f aca="false">L17/Assumptions!$D$33</f>
        <v>187.73819109492</v>
      </c>
      <c r="M18" s="35" t="n">
        <f aca="false">M17/Assumptions!$D$33</f>
        <v>200.992730259511</v>
      </c>
    </row>
    <row r="20" customFormat="false" ht="15" hidden="false" customHeight="false" outlineLevel="0" collapsed="false">
      <c r="B20" s="27" t="s">
        <v>67</v>
      </c>
      <c r="C20" s="28"/>
      <c r="D20" s="28"/>
      <c r="E20" s="28"/>
      <c r="F20" s="28"/>
      <c r="G20" s="28"/>
      <c r="H20" s="28"/>
      <c r="I20" s="28"/>
      <c r="J20" s="28"/>
      <c r="K20" s="28"/>
      <c r="L20" s="28"/>
    </row>
    <row r="21" customFormat="false" ht="15" hidden="false" customHeight="false" outlineLevel="0" collapsed="false">
      <c r="B21" s="12" t="s">
        <v>68</v>
      </c>
      <c r="C21" s="18" t="n">
        <v>370</v>
      </c>
      <c r="D21" s="18" t="n">
        <v>366</v>
      </c>
      <c r="E21" s="18" t="n">
        <v>366</v>
      </c>
      <c r="F21" s="18" t="n">
        <v>362</v>
      </c>
      <c r="G21" s="18" t="n">
        <v>362</v>
      </c>
      <c r="H21" s="18" t="n">
        <v>362</v>
      </c>
    </row>
    <row r="22" customFormat="false" ht="15" hidden="false" customHeight="false" outlineLevel="0" collapsed="false">
      <c r="B22" s="12" t="s">
        <v>69</v>
      </c>
      <c r="C22" s="18" t="n">
        <v>86063</v>
      </c>
      <c r="D22" s="18" t="n">
        <v>88773</v>
      </c>
      <c r="E22" s="18" t="n">
        <v>90058</v>
      </c>
      <c r="F22" s="18" t="n">
        <v>90127</v>
      </c>
      <c r="G22" s="18" t="n">
        <v>94394</v>
      </c>
      <c r="H22" s="18" t="n">
        <v>106878</v>
      </c>
    </row>
    <row r="23" customFormat="false" ht="15" hidden="false" customHeight="false" outlineLevel="0" collapsed="false">
      <c r="B23" s="15" t="s">
        <v>70</v>
      </c>
      <c r="C23" s="20" t="n">
        <f aca="false">C21+C22</f>
        <v>86433</v>
      </c>
      <c r="D23" s="20" t="n">
        <f aca="false">D21+D22</f>
        <v>89139</v>
      </c>
      <c r="E23" s="20" t="n">
        <f aca="false">E21+E22</f>
        <v>90424</v>
      </c>
      <c r="F23" s="20" t="n">
        <f aca="false">F21+F22</f>
        <v>90489</v>
      </c>
      <c r="G23" s="20" t="n">
        <f aca="false">G21+G22</f>
        <v>94756</v>
      </c>
      <c r="H23" s="20" t="n">
        <f aca="false">H21+H22</f>
        <v>107240</v>
      </c>
    </row>
    <row r="24" customFormat="false" ht="15" hidden="false" customHeight="false" outlineLevel="0" collapsed="false">
      <c r="B24" s="12" t="s">
        <v>71</v>
      </c>
      <c r="C24" s="18" t="n">
        <v>7795</v>
      </c>
      <c r="D24" s="18" t="n">
        <v>7818</v>
      </c>
      <c r="E24" s="18" t="n">
        <v>7688</v>
      </c>
      <c r="F24" s="18" t="n">
        <v>8021</v>
      </c>
      <c r="G24" s="18" t="n">
        <v>9392</v>
      </c>
      <c r="H24" s="18" t="n">
        <v>11283</v>
      </c>
    </row>
    <row r="25" customFormat="false" ht="15" hidden="false" customHeight="false" outlineLevel="0" collapsed="false">
      <c r="B25" s="12" t="s">
        <v>72</v>
      </c>
      <c r="C25" s="18" t="n">
        <v>35764</v>
      </c>
      <c r="D25" s="18" t="n">
        <v>43967</v>
      </c>
      <c r="E25" s="18" t="n">
        <v>44747</v>
      </c>
      <c r="F25" s="18" t="n">
        <v>46962</v>
      </c>
      <c r="G25" s="18" t="n">
        <v>54501</v>
      </c>
      <c r="H25" s="18" t="n">
        <v>62644</v>
      </c>
    </row>
    <row r="26" customFormat="false" ht="15" hidden="false" customHeight="false" outlineLevel="0" collapsed="false">
      <c r="B26" s="15" t="s">
        <v>73</v>
      </c>
      <c r="C26" s="20" t="n">
        <f aca="false">C23+C24+C25</f>
        <v>129992</v>
      </c>
      <c r="D26" s="20" t="n">
        <f aca="false">D23+D24+D25</f>
        <v>140924</v>
      </c>
      <c r="E26" s="20" t="n">
        <f aca="false">E23+E24+E25</f>
        <v>142859</v>
      </c>
      <c r="F26" s="20" t="n">
        <f aca="false">F23+F24+F25</f>
        <v>145472</v>
      </c>
      <c r="G26" s="20" t="n">
        <f aca="false">G23+G24+G25</f>
        <v>158649</v>
      </c>
      <c r="H26" s="20" t="n">
        <f aca="false">H23+H24+H25</f>
        <v>181167</v>
      </c>
    </row>
    <row r="28" customFormat="false" ht="15" hidden="false" customHeight="false" outlineLevel="0" collapsed="false">
      <c r="B28" s="27" t="s">
        <v>74</v>
      </c>
      <c r="C28" s="28"/>
      <c r="D28" s="28"/>
      <c r="E28" s="28"/>
      <c r="F28" s="28"/>
      <c r="G28" s="28"/>
      <c r="H28" s="28"/>
      <c r="I28" s="28"/>
      <c r="J28" s="28"/>
      <c r="K28" s="28"/>
      <c r="L28" s="28"/>
    </row>
    <row r="29" customFormat="false" ht="15" hidden="false" customHeight="false" outlineLevel="0" collapsed="false">
      <c r="B29" s="12" t="s">
        <v>75</v>
      </c>
      <c r="C29" s="18" t="n">
        <v>38802</v>
      </c>
      <c r="D29" s="18" t="n">
        <v>39949</v>
      </c>
      <c r="E29" s="18" t="n">
        <v>41965</v>
      </c>
      <c r="F29" s="18" t="n">
        <v>44338</v>
      </c>
      <c r="G29" s="18" t="n">
        <v>48908</v>
      </c>
      <c r="H29" s="18" t="n">
        <v>52094</v>
      </c>
    </row>
    <row r="30" customFormat="false" ht="15" hidden="false" customHeight="false" outlineLevel="0" collapsed="false">
      <c r="B30" s="15" t="s">
        <v>76</v>
      </c>
      <c r="C30" s="20" t="n">
        <v>35663</v>
      </c>
      <c r="D30" s="20" t="n">
        <v>36985</v>
      </c>
      <c r="E30" s="20" t="n">
        <v>38902</v>
      </c>
      <c r="F30" s="20" t="n">
        <v>41688</v>
      </c>
      <c r="G30" s="20" t="n">
        <v>44994</v>
      </c>
      <c r="H30" s="20" t="n">
        <v>48013</v>
      </c>
      <c r="I30" s="31" t="n">
        <f aca="false">I8*Assumptions!$D$42</f>
        <v>52389.5202</v>
      </c>
      <c r="J30" s="31" t="n">
        <f aca="false">J8*Assumptions!$D$42</f>
        <v>56842.629417</v>
      </c>
      <c r="K30" s="31" t="n">
        <f aca="false">K8*Assumptions!$D$42</f>
        <v>61390.03977036</v>
      </c>
      <c r="L30" s="31" t="n">
        <f aca="false">L8*Assumptions!$D$42</f>
        <v>65994.292753137</v>
      </c>
      <c r="M30" s="31" t="n">
        <f aca="false">M8*Assumptions!$D$42</f>
        <v>70613.8932458566</v>
      </c>
    </row>
    <row r="31" customFormat="false" ht="15" hidden="false" customHeight="false" outlineLevel="0" collapsed="false">
      <c r="B31" s="30" t="s">
        <v>77</v>
      </c>
      <c r="C31" s="19" t="n">
        <f aca="false">C30/C8</f>
        <v>0.217222875311402</v>
      </c>
      <c r="D31" s="19" t="n">
        <f aca="false">D30/D8</f>
        <v>0.192877332415491</v>
      </c>
      <c r="E31" s="19" t="n">
        <f aca="false">E30/E8</f>
        <v>0.172546549689964</v>
      </c>
      <c r="F31" s="19" t="n">
        <f aca="false">F30/F8</f>
        <v>0.173056087142424</v>
      </c>
      <c r="G31" s="19" t="n">
        <f aca="false">G30/G8</f>
        <v>0.176223151760117</v>
      </c>
      <c r="H31" s="19" t="n">
        <f aca="false">H30/H8</f>
        <v>0.179809827691455</v>
      </c>
      <c r="I31" s="19" t="n">
        <f aca="false">I30/I8</f>
        <v>0.18</v>
      </c>
      <c r="J31" s="19" t="n">
        <f aca="false">J30/J8</f>
        <v>0.18</v>
      </c>
      <c r="K31" s="19" t="n">
        <f aca="false">K30/K8</f>
        <v>0.18</v>
      </c>
      <c r="L31" s="19" t="n">
        <f aca="false">L30/L8</f>
        <v>0.18</v>
      </c>
      <c r="M31" s="19" t="n">
        <f aca="false">M30/M8</f>
        <v>0.18</v>
      </c>
    </row>
    <row r="33" customFormat="false" ht="15" hidden="false" customHeight="false" outlineLevel="0" collapsed="false">
      <c r="B33" s="2" t="s">
        <v>78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2:I3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42"/>
    <col collapsed="false" customWidth="true" hidden="false" outlineLevel="0" max="7" min="3" style="0" width="13"/>
  </cols>
  <sheetData>
    <row r="2" customFormat="false" ht="19.7" hidden="false" customHeight="false" outlineLevel="0" collapsed="false">
      <c r="B2" s="10" t="s">
        <v>79</v>
      </c>
    </row>
    <row r="3" customFormat="false" ht="15" hidden="false" customHeight="false" outlineLevel="0" collapsed="false">
      <c r="B3" s="2" t="s">
        <v>80</v>
      </c>
    </row>
    <row r="5" customFormat="false" ht="15" hidden="false" customHeight="false" outlineLevel="0" collapsed="false">
      <c r="B5" s="25" t="s">
        <v>48</v>
      </c>
      <c r="C5" s="26" t="s">
        <v>35</v>
      </c>
      <c r="D5" s="26" t="s">
        <v>36</v>
      </c>
      <c r="E5" s="26" t="s">
        <v>37</v>
      </c>
      <c r="F5" s="26" t="s">
        <v>38</v>
      </c>
      <c r="G5" s="26" t="s">
        <v>39</v>
      </c>
    </row>
    <row r="7" customFormat="false" ht="15" hidden="false" customHeight="false" outlineLevel="0" collapsed="false">
      <c r="B7" s="12" t="s">
        <v>81</v>
      </c>
      <c r="C7" s="36" t="n">
        <v>1</v>
      </c>
      <c r="D7" s="36" t="n">
        <v>2</v>
      </c>
      <c r="E7" s="36" t="n">
        <v>3</v>
      </c>
      <c r="F7" s="36" t="n">
        <v>4</v>
      </c>
      <c r="G7" s="36" t="n">
        <v>5</v>
      </c>
    </row>
    <row r="8" customFormat="false" ht="15" hidden="false" customHeight="false" outlineLevel="0" collapsed="false">
      <c r="B8" s="12" t="s">
        <v>82</v>
      </c>
      <c r="C8" s="18" t="n">
        <f aca="false">'3-Statement Model'!I30</f>
        <v>52389.5202</v>
      </c>
      <c r="D8" s="18" t="n">
        <f aca="false">'3-Statement Model'!J30</f>
        <v>56842.629417</v>
      </c>
      <c r="E8" s="18" t="n">
        <f aca="false">'3-Statement Model'!K30</f>
        <v>61390.03977036</v>
      </c>
      <c r="F8" s="18" t="n">
        <f aca="false">'3-Statement Model'!L30</f>
        <v>65994.292753137</v>
      </c>
      <c r="G8" s="18" t="n">
        <f aca="false">'3-Statement Model'!M30</f>
        <v>70613.8932458566</v>
      </c>
    </row>
    <row r="9" customFormat="false" ht="15" hidden="false" customHeight="false" outlineLevel="0" collapsed="false">
      <c r="B9" s="12" t="s">
        <v>83</v>
      </c>
      <c r="C9" s="37" t="n">
        <f aca="false">1/(1+Assumptions!$D$24)^C7</f>
        <v>0.894571890400168</v>
      </c>
      <c r="D9" s="37" t="n">
        <f aca="false">1/(1+Assumptions!$D$24)^D7</f>
        <v>0.800258867094129</v>
      </c>
      <c r="E9" s="37" t="n">
        <f aca="false">1/(1+Assumptions!$D$24)^E7</f>
        <v>0.715889087545892</v>
      </c>
      <c r="F9" s="37" t="n">
        <f aca="false">1/(1+Assumptions!$D$24)^F7</f>
        <v>0.640414254362779</v>
      </c>
      <c r="G9" s="37" t="n">
        <f aca="false">1/(1+Assumptions!$D$24)^G7</f>
        <v>0.572896590164525</v>
      </c>
    </row>
    <row r="10" customFormat="false" ht="15" hidden="false" customHeight="false" outlineLevel="0" collapsed="false">
      <c r="B10" s="15" t="s">
        <v>84</v>
      </c>
      <c r="C10" s="20" t="n">
        <f aca="false">C8*C9</f>
        <v>46866.1921224718</v>
      </c>
      <c r="D10" s="20" t="n">
        <f aca="false">D8*D9</f>
        <v>45488.8182198999</v>
      </c>
      <c r="E10" s="20" t="n">
        <f aca="false">E8*E9</f>
        <v>43948.459555609</v>
      </c>
      <c r="F10" s="20" t="n">
        <f aca="false">F8*F9</f>
        <v>42263.6857856992</v>
      </c>
      <c r="G10" s="20" t="n">
        <f aca="false">G8*G9</f>
        <v>40454.458658793</v>
      </c>
    </row>
    <row r="12" customFormat="false" ht="15" hidden="false" customHeight="false" outlineLevel="0" collapsed="false">
      <c r="B12" s="27" t="s">
        <v>85</v>
      </c>
      <c r="C12" s="28"/>
      <c r="D12" s="28"/>
      <c r="E12" s="28"/>
      <c r="F12" s="28"/>
      <c r="G12" s="28"/>
      <c r="H12" s="28"/>
      <c r="I12" s="28"/>
    </row>
    <row r="13" customFormat="false" ht="15" hidden="false" customHeight="false" outlineLevel="0" collapsed="false">
      <c r="B13" s="12" t="s">
        <v>86</v>
      </c>
      <c r="D13" s="18" t="n">
        <f aca="false">G8*(1+Assumptions!$D$27)</f>
        <v>74144.5879081494</v>
      </c>
    </row>
    <row r="14" customFormat="false" ht="15" hidden="false" customHeight="false" outlineLevel="0" collapsed="false">
      <c r="B14" s="12" t="s">
        <v>87</v>
      </c>
      <c r="D14" s="18" t="n">
        <f aca="false">D13/(Assumptions!$D$24-Assumptions!$D$27)</f>
        <v>1092721.48353589</v>
      </c>
    </row>
    <row r="15" customFormat="false" ht="15" hidden="false" customHeight="false" outlineLevel="0" collapsed="false">
      <c r="B15" s="12" t="s">
        <v>88</v>
      </c>
      <c r="D15" s="18" t="n">
        <f aca="false">D14*G9</f>
        <v>626016.411917233</v>
      </c>
    </row>
    <row r="17" customFormat="false" ht="15" hidden="false" customHeight="false" outlineLevel="0" collapsed="false">
      <c r="B17" s="27" t="s">
        <v>89</v>
      </c>
      <c r="C17" s="28"/>
      <c r="D17" s="28"/>
      <c r="E17" s="28"/>
      <c r="F17" s="28"/>
      <c r="G17" s="28"/>
      <c r="H17" s="28"/>
      <c r="I17" s="28"/>
    </row>
    <row r="18" customFormat="false" ht="15" hidden="false" customHeight="false" outlineLevel="0" collapsed="false">
      <c r="B18" s="12" t="s">
        <v>90</v>
      </c>
      <c r="D18" s="18" t="n">
        <f aca="false">SUM(C10:G10)</f>
        <v>219021.614342473</v>
      </c>
    </row>
    <row r="19" customFormat="false" ht="15" hidden="false" customHeight="false" outlineLevel="0" collapsed="false">
      <c r="B19" s="12" t="s">
        <v>91</v>
      </c>
      <c r="D19" s="18" t="n">
        <f aca="false">D15</f>
        <v>626016.411917233</v>
      </c>
    </row>
    <row r="20" customFormat="false" ht="15" hidden="false" customHeight="false" outlineLevel="0" collapsed="false">
      <c r="B20" s="15" t="s">
        <v>92</v>
      </c>
      <c r="D20" s="38" t="n">
        <f aca="false">D18+D15</f>
        <v>845038.026259706</v>
      </c>
    </row>
    <row r="21" customFormat="false" ht="15" hidden="false" customHeight="false" outlineLevel="0" collapsed="false">
      <c r="B21" s="12" t="s">
        <v>93</v>
      </c>
      <c r="D21" s="18" t="n">
        <f aca="false">Assumptions!$D$32</f>
        <v>37431</v>
      </c>
    </row>
    <row r="22" customFormat="false" ht="15" hidden="false" customHeight="false" outlineLevel="0" collapsed="false">
      <c r="B22" s="15" t="s">
        <v>94</v>
      </c>
      <c r="D22" s="38" t="n">
        <f aca="false">D20+D21</f>
        <v>882469.026259706</v>
      </c>
    </row>
    <row r="23" customFormat="false" ht="15" hidden="false" customHeight="false" outlineLevel="0" collapsed="false">
      <c r="B23" s="12" t="s">
        <v>95</v>
      </c>
      <c r="D23" s="34" t="n">
        <f aca="false">Assumptions!$D$33</f>
        <v>361.89</v>
      </c>
    </row>
    <row r="24" customFormat="false" ht="15" hidden="false" customHeight="false" outlineLevel="0" collapsed="false">
      <c r="B24" s="15" t="s">
        <v>96</v>
      </c>
      <c r="D24" s="39" t="n">
        <f aca="false">D22/Assumptions!$D$33</f>
        <v>2438.50072193127</v>
      </c>
    </row>
    <row r="26" customFormat="false" ht="15" hidden="false" customHeight="false" outlineLevel="0" collapsed="false">
      <c r="B26" s="27" t="s">
        <v>97</v>
      </c>
      <c r="C26" s="28"/>
      <c r="D26" s="28"/>
      <c r="E26" s="28"/>
      <c r="F26" s="28"/>
      <c r="G26" s="28"/>
      <c r="H26" s="28"/>
      <c r="I26" s="28"/>
    </row>
    <row r="27" customFormat="false" ht="15" hidden="false" customHeight="false" outlineLevel="0" collapsed="false">
      <c r="B27" s="12" t="s">
        <v>98</v>
      </c>
      <c r="D27" s="18" t="n">
        <f aca="false">Assumptions!$D$34</f>
        <v>2268</v>
      </c>
    </row>
    <row r="28" customFormat="false" ht="15" hidden="false" customHeight="false" outlineLevel="0" collapsed="false">
      <c r="B28" s="15" t="s">
        <v>99</v>
      </c>
      <c r="D28" s="40" t="n">
        <f aca="false">(D24-D27)/D27</f>
        <v>0.0751766851548796</v>
      </c>
    </row>
    <row r="29" customFormat="false" ht="15" hidden="false" customHeight="false" outlineLevel="0" collapsed="false">
      <c r="B29" s="15" t="s">
        <v>100</v>
      </c>
      <c r="D29" s="41" t="str">
        <f aca="false">IF(D28&gt;0.1,"UNDERVALUED",IF(D28&lt;-0.1,"OVERVALUED","FAIRLY VALUED"))</f>
        <v>FAIRLY VALUED</v>
      </c>
    </row>
    <row r="31" customFormat="false" ht="15" hidden="false" customHeight="false" outlineLevel="0" collapsed="false">
      <c r="B31" s="2" t="s">
        <v>101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2:G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6"/>
    <col collapsed="false" customWidth="true" hidden="false" outlineLevel="0" max="7" min="3" style="0" width="13"/>
  </cols>
  <sheetData>
    <row r="2" customFormat="false" ht="19.7" hidden="false" customHeight="false" outlineLevel="0" collapsed="false">
      <c r="B2" s="10" t="s">
        <v>102</v>
      </c>
    </row>
    <row r="3" customFormat="false" ht="15" hidden="false" customHeight="false" outlineLevel="0" collapsed="false">
      <c r="B3" s="2" t="s">
        <v>103</v>
      </c>
    </row>
    <row r="4" customFormat="false" ht="15" hidden="false" customHeight="false" outlineLevel="0" collapsed="false">
      <c r="B4" s="2" t="s">
        <v>104</v>
      </c>
    </row>
    <row r="6" customFormat="false" ht="15" hidden="false" customHeight="false" outlineLevel="0" collapsed="false">
      <c r="B6" s="42" t="s">
        <v>105</v>
      </c>
      <c r="C6" s="43" t="n">
        <v>0.03</v>
      </c>
      <c r="D6" s="43" t="n">
        <v>0.04</v>
      </c>
      <c r="E6" s="43" t="n">
        <v>0.05</v>
      </c>
      <c r="F6" s="43" t="n">
        <v>0.06</v>
      </c>
      <c r="G6" s="43" t="n">
        <v>0.07</v>
      </c>
    </row>
    <row r="7" customFormat="false" ht="15" hidden="false" customHeight="false" outlineLevel="0" collapsed="false">
      <c r="B7" s="44" t="n">
        <v>0.0979</v>
      </c>
      <c r="C7" s="18" t="n">
        <f aca="false">(('3-Statement Model'!I30/(1+$B7)^1+'3-Statement Model'!J30/(1+$B7)^2+'3-Statement Model'!K30/(1+$B7)^3+'3-Statement Model'!L30/(1+$B7)^4+'3-Statement Model'!M30/(1+$B7)^5)+('3-Statement Model'!M30*(1+C$6)/($B7-C$6))/(1+$B7)^5+Assumptions!$D$32)/Assumptions!$D$33</f>
        <v>2597.13851951881</v>
      </c>
      <c r="D7" s="18" t="n">
        <f aca="false">(('3-Statement Model'!I30/(1+$B7)^1+'3-Statement Model'!J30/(1+$B7)^2+'3-Statement Model'!K30/(1+$B7)^3+'3-Statement Model'!L30/(1+$B7)^4+'3-Statement Model'!M30/(1+$B7)^5)+('3-Statement Model'!M30*(1+D$6)/($B7-D$6))/(1+$B7)^5+Assumptions!$D$32)/Assumptions!$D$33</f>
        <v>2938.73555715752</v>
      </c>
      <c r="E7" s="18" t="n">
        <f aca="false">(('3-Statement Model'!I30/(1+$B7)^1+'3-Statement Model'!J30/(1+$B7)^2+'3-Statement Model'!K30/(1+$B7)^3+'3-Statement Model'!L30/(1+$B7)^4+'3-Statement Model'!M30/(1+$B7)^5)+('3-Statement Model'!M30*(1+E$6)/($B7-E$6))/(1+$B7)^5+Assumptions!$D$32)/Assumptions!$D$33</f>
        <v>3422.96183806919</v>
      </c>
      <c r="F7" s="18" t="n">
        <f aca="false">(('3-Statement Model'!I30/(1+$B7)^1+'3-Statement Model'!J30/(1+$B7)^2+'3-Statement Model'!K30/(1+$B7)^3+'3-Statement Model'!L30/(1+$B7)^4+'3-Statement Model'!M30/(1+$B7)^5)+('3-Statement Model'!M30*(1+F$6)/($B7-F$6))/(1+$B7)^5+Assumptions!$D$32)/Assumptions!$D$33</f>
        <v>4162.71649940917</v>
      </c>
      <c r="G7" s="18" t="n">
        <f aca="false">(('3-Statement Model'!I30/(1+$B7)^1+'3-Statement Model'!J30/(1+$B7)^2+'3-Statement Model'!K30/(1+$B7)^3+'3-Statement Model'!L30/(1+$B7)^4+'3-Statement Model'!M30/(1+$B7)^5)+('3-Statement Model'!M30*(1+G$6)/($B7-G$6))/(1+$B7)^5+Assumptions!$D$32)/Assumptions!$D$33</f>
        <v>5432.76124056276</v>
      </c>
    </row>
    <row r="8" customFormat="false" ht="15" hidden="false" customHeight="false" outlineLevel="0" collapsed="false">
      <c r="B8" s="44" t="n">
        <v>0.1079</v>
      </c>
      <c r="C8" s="18" t="n">
        <f aca="false">(('3-Statement Model'!I30/(1+$B8)^1+'3-Statement Model'!J30/(1+$B8)^2+'3-Statement Model'!K30/(1+$B8)^3+'3-Statement Model'!L30/(1+$B8)^4+'3-Statement Model'!M30/(1+$B8)^5)+('3-Statement Model'!M30*(1+C$6)/($B8-C$6))/(1+$B8)^5+Assumptions!$D$32)/Assumptions!$D$33</f>
        <v>2270.39630258611</v>
      </c>
      <c r="D8" s="18" t="n">
        <f aca="false">(('3-Statement Model'!I30/(1+$B8)^1+'3-Statement Model'!J30/(1+$B8)^2+'3-Statement Model'!K30/(1+$B8)^3+'3-Statement Model'!L30/(1+$B8)^4+'3-Statement Model'!M30/(1+$B8)^5)+('3-Statement Model'!M30*(1+D$6)/($B8-D$6))/(1+$B8)^5+Assumptions!$D$32)/Assumptions!$D$33</f>
        <v>2515.24854891621</v>
      </c>
      <c r="E8" s="18" t="n">
        <f aca="false">(('3-Statement Model'!I30/(1+$B8)^1+'3-Statement Model'!J30/(1+$B8)^2+'3-Statement Model'!K30/(1+$B8)^3+'3-Statement Model'!L30/(1+$B8)^4+'3-Statement Model'!M30/(1+$B8)^5)+('3-Statement Model'!M30*(1+E$6)/($B8-E$6))/(1+$B8)^5+Assumptions!$D$32)/Assumptions!$D$33</f>
        <v>2844.67842783012</v>
      </c>
      <c r="F8" s="18" t="n">
        <f aca="false">(('3-Statement Model'!I30/(1+$B8)^1+'3-Statement Model'!J30/(1+$B8)^2+'3-Statement Model'!K30/(1+$B8)^3+'3-Statement Model'!L30/(1+$B8)^4+'3-Statement Model'!M30/(1+$B8)^5)+('3-Statement Model'!M30*(1+F$6)/($B8-F$6))/(1+$B8)^5+Assumptions!$D$32)/Assumptions!$D$33</f>
        <v>3311.65731672896</v>
      </c>
      <c r="G8" s="18" t="n">
        <f aca="false">(('3-Statement Model'!I30/(1+$B8)^1+'3-Statement Model'!J30/(1+$B8)^2+'3-Statement Model'!K30/(1+$B8)^3+'3-Statement Model'!L30/(1+$B8)^4+'3-Statement Model'!M30/(1+$B8)^5)+('3-Statement Model'!M30*(1+G$6)/($B8-G$6))/(1+$B8)^5+Assumptions!$D$32)/Assumptions!$D$33</f>
        <v>4025.06305992799</v>
      </c>
    </row>
    <row r="9" customFormat="false" ht="15" hidden="false" customHeight="false" outlineLevel="0" collapsed="false">
      <c r="B9" s="44" t="n">
        <v>0.1179</v>
      </c>
      <c r="C9" s="18" t="n">
        <f aca="false">(('3-Statement Model'!I30/(1+$B9)^1+'3-Statement Model'!J30/(1+$B9)^2+'3-Statement Model'!K30/(1+$B9)^3+'3-Statement Model'!L30/(1+$B9)^4+'3-Statement Model'!M30/(1+$B9)^5)+('3-Statement Model'!M30*(1+C$6)/($B9-C$6))/(1+$B9)^5+Assumptions!$D$32)/Assumptions!$D$33</f>
        <v>2018.19929323963</v>
      </c>
      <c r="D9" s="18" t="n">
        <f aca="false">(('3-Statement Model'!I30/(1+$B9)^1+'3-Statement Model'!J30/(1+$B9)^2+'3-Statement Model'!K30/(1+$B9)^3+'3-Statement Model'!L30/(1+$B9)^4+'3-Statement Model'!M30/(1+$B9)^5)+('3-Statement Model'!M30*(1+D$6)/($B9-D$6))/(1+$B9)^5+Assumptions!$D$32)/Assumptions!$D$33</f>
        <v>2200.66254769365</v>
      </c>
      <c r="E9" s="45" t="n">
        <f aca="false">(('3-Statement Model'!I30/(1+$B9)^1+'3-Statement Model'!J30/(1+$B9)^2+'3-Statement Model'!K30/(1+$B9)^3+'3-Statement Model'!L30/(1+$B9)^4+'3-Statement Model'!M30/(1+$B9)^5)+('3-Statement Model'!M30*(1+E$6)/($B9-E$6))/(1+$B9)^5+Assumptions!$D$32)/Assumptions!$D$33</f>
        <v>2436.87050154502</v>
      </c>
      <c r="F9" s="18" t="n">
        <f aca="false">(('3-Statement Model'!I30/(1+$B9)^1+'3-Statement Model'!J30/(1+$B9)^2+'3-Statement Model'!K30/(1+$B9)^3+'3-Statement Model'!L30/(1+$B9)^4+'3-Statement Model'!M30/(1+$B9)^5)+('3-Statement Model'!M30*(1+F$6)/($B9-F$6))/(1+$B9)^5+Assumptions!$D$32)/Assumptions!$D$33</f>
        <v>2754.67014930015</v>
      </c>
      <c r="G9" s="18" t="n">
        <f aca="false">(('3-Statement Model'!I30/(1+$B9)^1+'3-Statement Model'!J30/(1+$B9)^2+'3-Statement Model'!K30/(1+$B9)^3+'3-Statement Model'!L30/(1+$B9)^4+'3-Statement Model'!M30/(1+$B9)^5)+('3-Statement Model'!M30*(1+G$6)/($B9-G$6))/(1+$B9)^5+Assumptions!$D$32)/Assumptions!$D$33</f>
        <v>3205.16276062736</v>
      </c>
    </row>
    <row r="10" customFormat="false" ht="15" hidden="false" customHeight="false" outlineLevel="0" collapsed="false">
      <c r="B10" s="44" t="n">
        <v>0.1279</v>
      </c>
      <c r="C10" s="18" t="n">
        <f aca="false">(('3-Statement Model'!I30/(1+$B10)^1+'3-Statement Model'!J30/(1+$B10)^2+'3-Statement Model'!K30/(1+$B10)^3+'3-Statement Model'!L30/(1+$B10)^4+'3-Statement Model'!M30/(1+$B10)^5)+('3-Statement Model'!M30*(1+C$6)/($B10-C$6))/(1+$B10)^5+Assumptions!$D$32)/Assumptions!$D$33</f>
        <v>1817.69607978074</v>
      </c>
      <c r="D10" s="18" t="n">
        <f aca="false">(('3-Statement Model'!I30/(1+$B10)^1+'3-Statement Model'!J30/(1+$B10)^2+'3-Statement Model'!K30/(1+$B10)^3+'3-Statement Model'!L30/(1+$B10)^4+'3-Statement Model'!M30/(1+$B10)^5)+('3-Statement Model'!M30*(1+D$6)/($B10-D$6))/(1+$B10)^5+Assumptions!$D$32)/Assumptions!$D$33</f>
        <v>1957.80301095295</v>
      </c>
      <c r="E10" s="18" t="n">
        <f aca="false">(('3-Statement Model'!I30/(1+$B10)^1+'3-Statement Model'!J30/(1+$B10)^2+'3-Statement Model'!K30/(1+$B10)^3+'3-Statement Model'!L30/(1+$B10)^4+'3-Statement Model'!M30/(1+$B10)^5)+('3-Statement Model'!M30*(1+E$6)/($B10-E$6))/(1+$B10)^5+Assumptions!$D$32)/Assumptions!$D$33</f>
        <v>2133.88091290108</v>
      </c>
      <c r="F10" s="18" t="n">
        <f aca="false">(('3-Statement Model'!I30/(1+$B10)^1+'3-Statement Model'!J30/(1+$B10)^2+'3-Statement Model'!K30/(1+$B10)^3+'3-Statement Model'!L30/(1+$B10)^4+'3-Statement Model'!M30/(1+$B10)^5)+('3-Statement Model'!M30*(1+F$6)/($B10-F$6))/(1+$B10)^5+Assumptions!$D$32)/Assumptions!$D$33</f>
        <v>2361.82270349373</v>
      </c>
      <c r="G10" s="18" t="n">
        <f aca="false">(('3-Statement Model'!I30/(1+$B10)^1+'3-Statement Model'!J30/(1+$B10)^2+'3-Statement Model'!K30/(1+$B10)^3+'3-Statement Model'!L30/(1+$B10)^4+'3-Statement Model'!M30/(1+$B10)^5)+('3-Statement Model'!M30*(1+G$6)/($B10-G$6))/(1+$B10)^5+Assumptions!$D$32)/Assumptions!$D$33</f>
        <v>2668.50086389385</v>
      </c>
    </row>
    <row r="11" customFormat="false" ht="15" hidden="false" customHeight="false" outlineLevel="0" collapsed="false">
      <c r="B11" s="44" t="n">
        <v>0.1379</v>
      </c>
      <c r="C11" s="18" t="n">
        <f aca="false">(('3-Statement Model'!I30/(1+$B11)^1+'3-Statement Model'!J30/(1+$B11)^2+'3-Statement Model'!K30/(1+$B11)^3+'3-Statement Model'!L30/(1+$B11)^4+'3-Statement Model'!M30/(1+$B11)^5)+('3-Statement Model'!M30*(1+C$6)/($B11-C$6))/(1+$B11)^5+Assumptions!$D$32)/Assumptions!$D$33</f>
        <v>1654.50698493964</v>
      </c>
      <c r="D11" s="18" t="n">
        <f aca="false">(('3-Statement Model'!I30/(1+$B11)^1+'3-Statement Model'!J30/(1+$B11)^2+'3-Statement Model'!K30/(1+$B11)^3+'3-Statement Model'!L30/(1+$B11)^4+'3-Statement Model'!M30/(1+$B11)^5)+('3-Statement Model'!M30*(1+D$6)/($B11-D$6))/(1+$B11)^5+Assumptions!$D$32)/Assumptions!$D$33</f>
        <v>1764.68451899212</v>
      </c>
      <c r="E11" s="18" t="n">
        <f aca="false">(('3-Statement Model'!I30/(1+$B11)^1+'3-Statement Model'!J30/(1+$B11)^2+'3-Statement Model'!K30/(1+$B11)^3+'3-Statement Model'!L30/(1+$B11)^4+'3-Statement Model'!M30/(1+$B11)^5)+('3-Statement Model'!M30*(1+E$6)/($B11-E$6))/(1+$B11)^5+Assumptions!$D$32)/Assumptions!$D$33</f>
        <v>1899.93088900648</v>
      </c>
      <c r="F11" s="18" t="n">
        <f aca="false">(('3-Statement Model'!I30/(1+$B11)^1+'3-Statement Model'!J30/(1+$B11)^2+'3-Statement Model'!K30/(1+$B11)^3+'3-Statement Model'!L30/(1+$B11)^4+'3-Statement Model'!M30/(1+$B11)^5)+('3-Statement Model'!M30*(1+F$6)/($B11-F$6))/(1+$B11)^5+Assumptions!$D$32)/Assumptions!$D$33</f>
        <v>2069.90033219525</v>
      </c>
      <c r="G11" s="18" t="n">
        <f aca="false">(('3-Statement Model'!I30/(1+$B11)^1+'3-Statement Model'!J30/(1+$B11)^2+'3-Statement Model'!K30/(1+$B11)^3+'3-Statement Model'!L30/(1+$B11)^4+'3-Statement Model'!M30/(1+$B11)^5)+('3-Statement Model'!M30*(1+G$6)/($B11-G$6))/(1+$B11)^5+Assumptions!$D$32)/Assumptions!$D$33</f>
        <v>2289.93441255304</v>
      </c>
    </row>
    <row r="12" customFormat="false" ht="15" hidden="false" customHeight="false" outlineLevel="0" collapsed="false">
      <c r="B12" s="44" t="n">
        <v>0.1479</v>
      </c>
      <c r="C12" s="18" t="n">
        <f aca="false">(('3-Statement Model'!I30/(1+$B12)^1+'3-Statement Model'!J30/(1+$B12)^2+'3-Statement Model'!K30/(1+$B12)^3+'3-Statement Model'!L30/(1+$B12)^4+'3-Statement Model'!M30/(1+$B12)^5)+('3-Statement Model'!M30*(1+C$6)/($B12-C$6))/(1+$B12)^5+Assumptions!$D$32)/Assumptions!$D$33</f>
        <v>1519.13127951356</v>
      </c>
      <c r="D12" s="18" t="n">
        <f aca="false">(('3-Statement Model'!I30/(1+$B12)^1+'3-Statement Model'!J30/(1+$B12)^2+'3-Statement Model'!K30/(1+$B12)^3+'3-Statement Model'!L30/(1+$B12)^4+'3-Statement Model'!M30/(1+$B12)^5)+('3-Statement Model'!M30*(1+D$6)/($B12-D$6))/(1+$B12)^5+Assumptions!$D$32)/Assumptions!$D$33</f>
        <v>1607.47223674481</v>
      </c>
      <c r="E12" s="18" t="n">
        <f aca="false">(('3-Statement Model'!I30/(1+$B12)^1+'3-Statement Model'!J30/(1+$B12)^2+'3-Statement Model'!K30/(1+$B12)^3+'3-Statement Model'!L30/(1+$B12)^4+'3-Statement Model'!M30/(1+$B12)^5)+('3-Statement Model'!M30*(1+E$6)/($B12-E$6))/(1+$B12)^5+Assumptions!$D$32)/Assumptions!$D$33</f>
        <v>1713.86037625007</v>
      </c>
      <c r="F12" s="18" t="n">
        <f aca="false">(('3-Statement Model'!I30/(1+$B12)^1+'3-Statement Model'!J30/(1+$B12)^2+'3-Statement Model'!K30/(1+$B12)^3+'3-Statement Model'!L30/(1+$B12)^4+'3-Statement Model'!M30/(1+$B12)^5)+('3-Statement Model'!M30*(1+F$6)/($B12-F$6))/(1+$B12)^5+Assumptions!$D$32)/Assumptions!$D$33</f>
        <v>1844.45514590443</v>
      </c>
      <c r="G12" s="18" t="n">
        <f aca="false">(('3-Statement Model'!I30/(1+$B12)^1+'3-Statement Model'!J30/(1+$B12)^2+'3-Statement Model'!K30/(1+$B12)^3+'3-Statement Model'!L30/(1+$B12)^4+'3-Statement Model'!M30/(1+$B12)^5)+('3-Statement Model'!M30*(1+G$6)/($B12-G$6))/(1+$B12)^5+Assumptions!$D$32)/Assumptions!$D$33</f>
        <v>2008.57873960354</v>
      </c>
    </row>
    <row r="15" customFormat="false" ht="15" hidden="false" customHeight="false" outlineLevel="0" collapsed="false">
      <c r="B15" s="2" t="s">
        <v>106</v>
      </c>
    </row>
    <row r="16" customFormat="false" ht="15" hidden="false" customHeight="false" outlineLevel="0" collapsed="false">
      <c r="B16" s="2" t="s">
        <v>107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2026-08-19T06:42:20Z</dcterms:created>
  <dc:creator>openpyxl</dc:creator>
  <dc:description/>
  <dc:language>en-US</dc:language>
  <cp:lastModifiedBy/>
  <dcterms:modified xsi:type="dcterms:W3CDTF">2026-08-19T06:42:26Z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